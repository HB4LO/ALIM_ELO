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ppvion\Documents\PROJETS_ELO\alim_elo_dps3005\1_Documentation\"/>
    </mc:Choice>
  </mc:AlternateContent>
  <xr:revisionPtr revIDLastSave="0" documentId="8_{2EF0462B-84F0-4599-B8B5-FADA2C01782A}" xr6:coauthVersionLast="47" xr6:coauthVersionMax="47" xr10:uidLastSave="{00000000-0000-0000-0000-000000000000}"/>
  <bookViews>
    <workbookView xWindow="-28920" yWindow="-120" windowWidth="29040" windowHeight="15720" xr2:uid="{647340C9-D67D-432F-BDC7-DD22109FDD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6" i="1"/>
  <c r="G7" i="1"/>
  <c r="G8" i="1"/>
  <c r="G9" i="1"/>
  <c r="G10" i="1"/>
  <c r="G11" i="1"/>
  <c r="G12" i="1"/>
  <c r="G13" i="1"/>
  <c r="G14" i="1"/>
  <c r="G15" i="1"/>
  <c r="G16" i="1"/>
  <c r="G17" i="1"/>
  <c r="G5" i="1"/>
</calcChain>
</file>

<file path=xl/sharedStrings.xml><?xml version="1.0" encoding="utf-8"?>
<sst xmlns="http://schemas.openxmlformats.org/spreadsheetml/2006/main" count="50" uniqueCount="42">
  <si>
    <t>Quantité</t>
  </si>
  <si>
    <t>MFG</t>
  </si>
  <si>
    <t>MFG PART NUM</t>
  </si>
  <si>
    <t xml:space="preserve">HIRSCHMANN </t>
  </si>
  <si>
    <t>PRICE p/u [CHF]</t>
  </si>
  <si>
    <t>Description</t>
  </si>
  <si>
    <t>Fiche Banane rouge 4mm 35A</t>
  </si>
  <si>
    <t>Fiche Banane noire 4mm 35A</t>
  </si>
  <si>
    <t>ALIEXPRESS</t>
  </si>
  <si>
    <t>1005008274325732</t>
  </si>
  <si>
    <t>ALIM réglable DPS 3005</t>
  </si>
  <si>
    <t>ALIM AC/DC 36V</t>
  </si>
  <si>
    <t>MEANWELL</t>
  </si>
  <si>
    <t>LRS-100-36</t>
  </si>
  <si>
    <t>ALIM AC/DC 5V 5A</t>
  </si>
  <si>
    <t>RS-25-5</t>
  </si>
  <si>
    <t>ALIM AC/DC 12V 2A</t>
  </si>
  <si>
    <t>RS-25-12</t>
  </si>
  <si>
    <t>Entrée 230V IEC avec fusible</t>
  </si>
  <si>
    <t>MULTICOMP PRO</t>
  </si>
  <si>
    <t>JR-101-1F</t>
  </si>
  <si>
    <t xml:space="preserve">Commutateur AC 230V </t>
  </si>
  <si>
    <t>MP005716</t>
  </si>
  <si>
    <t>Cosses à Fourche M3.5</t>
  </si>
  <si>
    <t>MC29600</t>
  </si>
  <si>
    <t>Cosses à Fourche M3</t>
  </si>
  <si>
    <t>MC29596</t>
  </si>
  <si>
    <t>Cosse à œillet M4</t>
  </si>
  <si>
    <t>MC002135</t>
  </si>
  <si>
    <t>Cosse FESTON 6.3mm</t>
  </si>
  <si>
    <t>FDFNY1-250A</t>
  </si>
  <si>
    <t>TBD</t>
  </si>
  <si>
    <t>Fil de câblage multibrin 0.5mm2</t>
  </si>
  <si>
    <t>Huber&amp;Suhner</t>
  </si>
  <si>
    <t>Série RADOX 125 0.5mm2</t>
  </si>
  <si>
    <t>selon câblage</t>
  </si>
  <si>
    <t>Boitier HAMMOND 1402H</t>
  </si>
  <si>
    <t>HAMMOND</t>
  </si>
  <si>
    <t>1402H</t>
  </si>
  <si>
    <t>Prix TOT [CHF]</t>
  </si>
  <si>
    <t>TOTAL (sans cablage)</t>
  </si>
  <si>
    <t>ALIM 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</si>
</sst>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F589-6AB5-4ECA-9904-02A9FA4E9002}">
  <dimension ref="B2:G20"/>
  <sheetViews>
    <sheetView tabSelected="1" workbookViewId="0">
      <selection activeCell="C2" sqref="C2"/>
    </sheetView>
  </sheetViews>
  <sheetFormatPr baseColWidth="10" defaultRowHeight="15" x14ac:dyDescent="0.25"/>
  <cols>
    <col min="2" max="2" width="8.5703125" style="2" bestFit="1" customWidth="1"/>
    <col min="3" max="3" width="29.5703125" bestFit="1" customWidth="1"/>
    <col min="4" max="4" width="15.7109375" bestFit="1" customWidth="1"/>
    <col min="5" max="5" width="23" style="1" bestFit="1" customWidth="1"/>
    <col min="6" max="6" width="20.140625" bestFit="1" customWidth="1"/>
  </cols>
  <sheetData>
    <row r="2" spans="2:7" ht="21" x14ac:dyDescent="0.35">
      <c r="B2" s="7" t="s">
        <v>41</v>
      </c>
    </row>
    <row r="4" spans="2:7" x14ac:dyDescent="0.25">
      <c r="B4" s="5" t="s">
        <v>0</v>
      </c>
      <c r="C4" s="3" t="s">
        <v>5</v>
      </c>
      <c r="D4" s="3" t="s">
        <v>1</v>
      </c>
      <c r="E4" s="6" t="s">
        <v>2</v>
      </c>
      <c r="F4" s="3" t="s">
        <v>4</v>
      </c>
      <c r="G4" s="3" t="s">
        <v>39</v>
      </c>
    </row>
    <row r="5" spans="2:7" x14ac:dyDescent="0.25">
      <c r="B5" s="2">
        <v>3</v>
      </c>
      <c r="C5" t="s">
        <v>6</v>
      </c>
      <c r="D5" t="s">
        <v>3</v>
      </c>
      <c r="E5" s="1">
        <v>930103101</v>
      </c>
      <c r="F5">
        <v>4</v>
      </c>
      <c r="G5">
        <f>F5*B5</f>
        <v>12</v>
      </c>
    </row>
    <row r="6" spans="2:7" x14ac:dyDescent="0.25">
      <c r="B6" s="2">
        <v>3</v>
      </c>
      <c r="C6" t="s">
        <v>7</v>
      </c>
      <c r="D6" t="s">
        <v>3</v>
      </c>
      <c r="E6" s="1">
        <v>930103100</v>
      </c>
      <c r="F6">
        <v>4</v>
      </c>
      <c r="G6">
        <f t="shared" ref="G6:G17" si="0">F6*B6</f>
        <v>12</v>
      </c>
    </row>
    <row r="7" spans="2:7" x14ac:dyDescent="0.25">
      <c r="B7" s="2">
        <v>1</v>
      </c>
      <c r="C7" t="s">
        <v>10</v>
      </c>
      <c r="D7" t="s">
        <v>8</v>
      </c>
      <c r="E7" t="s">
        <v>9</v>
      </c>
      <c r="F7">
        <v>22</v>
      </c>
      <c r="G7">
        <f t="shared" si="0"/>
        <v>22</v>
      </c>
    </row>
    <row r="8" spans="2:7" x14ac:dyDescent="0.25">
      <c r="B8" s="2">
        <v>1</v>
      </c>
      <c r="C8" t="s">
        <v>11</v>
      </c>
      <c r="D8" t="s">
        <v>12</v>
      </c>
      <c r="E8" s="1" t="s">
        <v>13</v>
      </c>
      <c r="F8">
        <v>13</v>
      </c>
      <c r="G8">
        <f t="shared" si="0"/>
        <v>13</v>
      </c>
    </row>
    <row r="9" spans="2:7" x14ac:dyDescent="0.25">
      <c r="B9" s="2">
        <v>1</v>
      </c>
      <c r="C9" t="s">
        <v>14</v>
      </c>
      <c r="D9" t="s">
        <v>12</v>
      </c>
      <c r="E9" s="1" t="s">
        <v>15</v>
      </c>
      <c r="F9">
        <v>9</v>
      </c>
      <c r="G9">
        <f t="shared" si="0"/>
        <v>9</v>
      </c>
    </row>
    <row r="10" spans="2:7" x14ac:dyDescent="0.25">
      <c r="B10" s="2">
        <v>1</v>
      </c>
      <c r="C10" t="s">
        <v>16</v>
      </c>
      <c r="D10" t="s">
        <v>12</v>
      </c>
      <c r="E10" s="1" t="s">
        <v>17</v>
      </c>
      <c r="F10">
        <v>9</v>
      </c>
      <c r="G10">
        <f t="shared" si="0"/>
        <v>9</v>
      </c>
    </row>
    <row r="11" spans="2:7" x14ac:dyDescent="0.25">
      <c r="B11" s="2">
        <v>1</v>
      </c>
      <c r="C11" t="s">
        <v>18</v>
      </c>
      <c r="D11" t="s">
        <v>19</v>
      </c>
      <c r="E11" s="1" t="s">
        <v>20</v>
      </c>
      <c r="F11">
        <v>4</v>
      </c>
      <c r="G11">
        <f t="shared" si="0"/>
        <v>4</v>
      </c>
    </row>
    <row r="12" spans="2:7" x14ac:dyDescent="0.25">
      <c r="B12" s="2">
        <v>1</v>
      </c>
      <c r="C12" t="s">
        <v>21</v>
      </c>
      <c r="D12" t="s">
        <v>19</v>
      </c>
      <c r="E12" s="1" t="s">
        <v>22</v>
      </c>
      <c r="F12">
        <v>1.5</v>
      </c>
      <c r="G12">
        <f t="shared" si="0"/>
        <v>1.5</v>
      </c>
    </row>
    <row r="13" spans="2:7" x14ac:dyDescent="0.25">
      <c r="B13" s="2">
        <v>5</v>
      </c>
      <c r="C13" t="s">
        <v>23</v>
      </c>
      <c r="D13" t="s">
        <v>19</v>
      </c>
      <c r="E13" s="1" t="s">
        <v>24</v>
      </c>
      <c r="F13">
        <v>0.1</v>
      </c>
      <c r="G13">
        <f t="shared" si="0"/>
        <v>0.5</v>
      </c>
    </row>
    <row r="14" spans="2:7" x14ac:dyDescent="0.25">
      <c r="B14" s="2">
        <v>10</v>
      </c>
      <c r="C14" t="s">
        <v>25</v>
      </c>
      <c r="D14" t="s">
        <v>19</v>
      </c>
      <c r="E14" s="1" t="s">
        <v>26</v>
      </c>
      <c r="F14">
        <v>0.11</v>
      </c>
      <c r="G14">
        <f t="shared" si="0"/>
        <v>1.1000000000000001</v>
      </c>
    </row>
    <row r="15" spans="2:7" x14ac:dyDescent="0.25">
      <c r="B15" s="2">
        <v>6</v>
      </c>
      <c r="C15" t="s">
        <v>27</v>
      </c>
      <c r="D15" t="s">
        <v>19</v>
      </c>
      <c r="E15" s="1" t="s">
        <v>28</v>
      </c>
      <c r="F15">
        <v>1E-3</v>
      </c>
      <c r="G15">
        <f t="shared" si="0"/>
        <v>6.0000000000000001E-3</v>
      </c>
    </row>
    <row r="16" spans="2:7" x14ac:dyDescent="0.25">
      <c r="B16" s="2">
        <v>5</v>
      </c>
      <c r="C16" t="s">
        <v>29</v>
      </c>
      <c r="D16" t="s">
        <v>19</v>
      </c>
      <c r="E16" s="1" t="s">
        <v>30</v>
      </c>
      <c r="F16">
        <v>0.13</v>
      </c>
      <c r="G16">
        <f t="shared" si="0"/>
        <v>0.65</v>
      </c>
    </row>
    <row r="17" spans="2:7" x14ac:dyDescent="0.25">
      <c r="B17" s="2">
        <v>1</v>
      </c>
      <c r="C17" t="s">
        <v>36</v>
      </c>
      <c r="D17" t="s">
        <v>37</v>
      </c>
      <c r="E17" s="1" t="s">
        <v>38</v>
      </c>
      <c r="F17">
        <v>70</v>
      </c>
      <c r="G17">
        <f t="shared" si="0"/>
        <v>70</v>
      </c>
    </row>
    <row r="18" spans="2:7" x14ac:dyDescent="0.25">
      <c r="B18" s="2" t="s">
        <v>31</v>
      </c>
      <c r="C18" t="s">
        <v>32</v>
      </c>
      <c r="D18" t="s">
        <v>33</v>
      </c>
      <c r="E18" s="1" t="s">
        <v>34</v>
      </c>
      <c r="F18" t="s">
        <v>35</v>
      </c>
    </row>
    <row r="20" spans="2:7" x14ac:dyDescent="0.25">
      <c r="F20" s="4" t="s">
        <v>40</v>
      </c>
      <c r="G20" s="4">
        <f>SUM(G5:G17)</f>
        <v>154.756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Perrin</dc:creator>
  <cp:lastModifiedBy>David Perrin</cp:lastModifiedBy>
  <dcterms:created xsi:type="dcterms:W3CDTF">2026-03-06T10:13:49Z</dcterms:created>
  <dcterms:modified xsi:type="dcterms:W3CDTF">2026-03-06T10:47:58Z</dcterms:modified>
</cp:coreProperties>
</file>